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stya\Documents\Project\Production\templates\"/>
    </mc:Choice>
  </mc:AlternateContent>
  <xr:revisionPtr revIDLastSave="0" documentId="13_ncr:1_{D7CE3489-6221-43BB-A204-6BB5A2BE9452}" xr6:coauthVersionLast="45" xr6:coauthVersionMax="45" xr10:uidLastSave="{00000000-0000-0000-0000-000000000000}"/>
  <bookViews>
    <workbookView xWindow="-120" yWindow="-120" windowWidth="29040" windowHeight="15840" xr2:uid="{EE5E3F58-93A1-4783-8A83-6D8D586B2A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6" i="1" l="1"/>
  <c r="M16" i="1"/>
  <c r="J16" i="1"/>
  <c r="I16" i="1"/>
  <c r="H16" i="1"/>
  <c r="G16" i="1"/>
  <c r="F16" i="1"/>
  <c r="E16" i="1"/>
  <c r="D16" i="1"/>
  <c r="M19" i="1" l="1"/>
  <c r="M18" i="1" s="1"/>
  <c r="O18" i="1"/>
  <c r="D14" i="1"/>
  <c r="Q23" i="1" l="1"/>
  <c r="G19" i="1"/>
  <c r="E19" i="1"/>
  <c r="L18" i="1"/>
  <c r="D19" i="1" s="1"/>
  <c r="L19" i="1" s="1"/>
  <c r="G17" i="1"/>
  <c r="E17" i="1"/>
  <c r="L14" i="1"/>
  <c r="D15" i="1" s="1"/>
  <c r="H14" i="1"/>
  <c r="P14" i="1" s="1"/>
  <c r="H15" i="1" s="1"/>
  <c r="P15" i="1" s="1"/>
  <c r="G14" i="1"/>
  <c r="O14" i="1" s="1"/>
  <c r="G15" i="1" s="1"/>
  <c r="E14" i="1" l="1"/>
  <c r="M14" i="1" s="1"/>
  <c r="E15" i="1" s="1"/>
  <c r="M15" i="1" s="1"/>
  <c r="O15" i="1" s="1"/>
  <c r="N15" i="1" s="1"/>
  <c r="F14" i="1"/>
  <c r="H22" i="1" s="1"/>
  <c r="N14" i="1"/>
  <c r="F15" i="1" s="1"/>
  <c r="L15" i="1" l="1"/>
  <c r="P16" i="1" l="1"/>
  <c r="N16" i="1" l="1"/>
  <c r="F17" i="1" s="1"/>
  <c r="H17" i="1"/>
  <c r="P17" i="1" s="1"/>
  <c r="L16" i="1" l="1"/>
  <c r="D17" i="1" s="1"/>
  <c r="H18" i="1"/>
  <c r="P18" i="1" s="1"/>
  <c r="H19" i="1" l="1"/>
  <c r="N18" i="1"/>
  <c r="F19" i="1" l="1"/>
  <c r="N19" i="1" s="1"/>
  <c r="H25" i="1" s="1"/>
  <c r="N17" i="1"/>
  <c r="P19" i="1"/>
  <c r="F22" i="1"/>
  <c r="L17" i="1" l="1"/>
  <c r="M17" i="1"/>
  <c r="E18" i="1" s="1"/>
  <c r="F18" i="1"/>
  <c r="H24" i="1"/>
  <c r="Q22" i="1"/>
  <c r="F25" i="1"/>
  <c r="O17" i="1" l="1"/>
  <c r="G18" i="1" s="1"/>
  <c r="D18" i="1"/>
</calcChain>
</file>

<file path=xl/sharedStrings.xml><?xml version="1.0" encoding="utf-8"?>
<sst xmlns="http://schemas.openxmlformats.org/spreadsheetml/2006/main" count="91" uniqueCount="76">
  <si>
    <t>ТОВ "ХЕЗ V"</t>
  </si>
  <si>
    <t>Технологічна схема переробки соапстоку  та жирової сировини</t>
  </si>
  <si>
    <t>Оригінал</t>
  </si>
  <si>
    <t>Х</t>
  </si>
  <si>
    <t>Ф-М-04-02</t>
  </si>
  <si>
    <t>Робочий примірник</t>
  </si>
  <si>
    <t>Редакція</t>
  </si>
  <si>
    <t>Скасований</t>
  </si>
  <si>
    <t>Стор 1/1</t>
  </si>
  <si>
    <t xml:space="preserve">№ </t>
  </si>
  <si>
    <t>189/09</t>
  </si>
  <si>
    <t>від</t>
  </si>
  <si>
    <t>02 вересня 2025 року</t>
  </si>
  <si>
    <t>Введено в дію</t>
  </si>
  <si>
    <t>Жирні кислоти загальною масою:</t>
  </si>
  <si>
    <t>кг     та середньою жирності</t>
  </si>
  <si>
    <t xml:space="preserve">%          </t>
  </si>
  <si>
    <t xml:space="preserve"> кг загального жиру у перерахунку на 100%   </t>
  </si>
  <si>
    <t>№ за переліком</t>
  </si>
  <si>
    <t>Етапи процесу переробки</t>
  </si>
  <si>
    <t>Сировинні показники</t>
  </si>
  <si>
    <t>Фактична наявність на начало етапу</t>
  </si>
  <si>
    <t>Потери при переработке материалы %</t>
  </si>
  <si>
    <t>Фактична наявність на кінець етапу</t>
  </si>
  <si>
    <t>Загальна вага (кг.)</t>
  </si>
  <si>
    <t>За видами складових</t>
  </si>
  <si>
    <t>Волога</t>
  </si>
  <si>
    <t>Жирова складова</t>
  </si>
  <si>
    <t>Додаткова сировина</t>
  </si>
  <si>
    <t>Питома вага (%)</t>
  </si>
  <si>
    <t>Абсолютний показник (кг)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</si>
  <si>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</si>
  <si>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</si>
  <si>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</si>
  <si>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</si>
  <si>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</si>
  <si>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</si>
  <si>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</si>
  <si>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</si>
  <si>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</si>
  <si>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</si>
  <si>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</si>
  <si>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</si>
  <si>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</si>
  <si>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</si>
  <si>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Транспортування сировини до технологічного реактору, трубопроводом.</t>
  </si>
  <si>
    <t>Підвищення та утримання температури сировини у реакторі, до 70 градусів С, на протязі 6-12 годин.</t>
  </si>
  <si>
    <t>Розподіл вмісту реактора на готовий продукт та вільну воду, на протязі 12-24 годин.</t>
  </si>
  <si>
    <t>Злів технічної води до каналізації.</t>
  </si>
  <si>
    <t>Термічне видалення залишків вологи, доведення до необхідної консистенції (у відповідності до ТУ)</t>
  </si>
  <si>
    <t>Перекачування готового продукту до ємкості зберігання/відвантаження.</t>
  </si>
  <si>
    <t>Транспортна емкість:</t>
  </si>
  <si>
    <t>жир на 100%,кг.:</t>
  </si>
  <si>
    <t>технич. вода, кг.:</t>
  </si>
  <si>
    <t>Гідро-сид натрію,кг:</t>
  </si>
  <si>
    <t>Кислота сірчана, кг.:</t>
  </si>
  <si>
    <t>Піногасник, кг.:</t>
  </si>
  <si>
    <t>РАЗОМ, кг.:</t>
  </si>
  <si>
    <t>Використано матеріалів при переробці (ориентовно)</t>
  </si>
  <si>
    <t>Злита до каналізації, після нейтралізації, технічна вода.</t>
  </si>
  <si>
    <t>Вихід суміші жирних кислот після переробки соапстоку.</t>
  </si>
  <si>
    <t>жир:</t>
  </si>
  <si>
    <t>волога:</t>
  </si>
  <si>
    <t>жир з вологою:</t>
  </si>
  <si>
    <t>Розробив</t>
  </si>
  <si>
    <t>Узгодив</t>
  </si>
  <si>
    <t>Затвердив</t>
  </si>
  <si>
    <t>Посада</t>
  </si>
  <si>
    <t>Головний технолог</t>
  </si>
  <si>
    <t>Заступник директора</t>
  </si>
  <si>
    <t>Директор</t>
  </si>
  <si>
    <t>Прізвище</t>
  </si>
  <si>
    <t>Борисенко Л.І.</t>
  </si>
  <si>
    <t xml:space="preserve"> </t>
  </si>
  <si>
    <t>Кононенко О.В.</t>
  </si>
  <si>
    <t>Підпис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</si>
</sst>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C22]d\ mmmm\ yyyy&quot; р.&quot;;@"/>
    <numFmt numFmtId="165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Protection="1"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right" vertical="center"/>
      <protection hidden="1"/>
    </xf>
    <xf numFmtId="0" fontId="9" fillId="0" borderId="16" xfId="0" applyFont="1" applyBorder="1" applyAlignment="1" applyProtection="1">
      <alignment horizontal="center"/>
      <protection hidden="1"/>
    </xf>
    <xf numFmtId="0" fontId="10" fillId="0" borderId="16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wrapText="1"/>
      <protection hidden="1"/>
    </xf>
    <xf numFmtId="2" fontId="11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1" fontId="11" fillId="0" borderId="0" xfId="0" applyNumberFormat="1" applyFont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21" xfId="0" applyFont="1" applyBorder="1" applyProtection="1">
      <protection hidden="1"/>
    </xf>
    <xf numFmtId="0" fontId="2" fillId="0" borderId="22" xfId="0" applyFont="1" applyBorder="1" applyProtection="1">
      <protection hidden="1"/>
    </xf>
    <xf numFmtId="0" fontId="9" fillId="0" borderId="0" xfId="0" applyFont="1" applyProtection="1">
      <protection hidden="1"/>
    </xf>
    <xf numFmtId="0" fontId="2" fillId="0" borderId="23" xfId="0" applyFont="1" applyBorder="1" applyProtection="1"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textRotation="90" wrapText="1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165" fontId="7" fillId="0" borderId="12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165" fontId="7" fillId="0" borderId="12" xfId="0" applyNumberFormat="1" applyFont="1" applyBorder="1" applyAlignment="1" applyProtection="1">
      <alignment horizontal="right" vertical="center"/>
      <protection hidden="1"/>
    </xf>
    <xf numFmtId="2" fontId="7" fillId="0" borderId="12" xfId="0" applyNumberFormat="1" applyFont="1" applyBorder="1" applyAlignment="1" applyProtection="1">
      <alignment horizontal="right" vertical="center"/>
      <protection hidden="1"/>
    </xf>
    <xf numFmtId="0" fontId="2" fillId="0" borderId="15" xfId="0" applyFont="1" applyBorder="1" applyProtection="1">
      <protection hidden="1"/>
    </xf>
    <xf numFmtId="165" fontId="2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165" fontId="2" fillId="0" borderId="27" xfId="0" applyNumberFormat="1" applyFont="1" applyBorder="1" applyProtection="1">
      <protection hidden="1"/>
    </xf>
    <xf numFmtId="0" fontId="15" fillId="0" borderId="15" xfId="0" applyFont="1" applyBorder="1" applyProtection="1">
      <protection hidden="1"/>
    </xf>
    <xf numFmtId="0" fontId="16" fillId="0" borderId="27" xfId="0" applyFont="1" applyBorder="1" applyAlignment="1" applyProtection="1">
      <alignment horizontal="right"/>
      <protection hidden="1"/>
    </xf>
    <xf numFmtId="2" fontId="16" fillId="0" borderId="20" xfId="0" applyNumberFormat="1" applyFont="1" applyBorder="1" applyProtection="1">
      <protection hidden="1"/>
    </xf>
    <xf numFmtId="165" fontId="16" fillId="0" borderId="21" xfId="0" applyNumberFormat="1" applyFont="1" applyBorder="1" applyAlignment="1" applyProtection="1">
      <alignment horizontal="right"/>
      <protection hidden="1"/>
    </xf>
    <xf numFmtId="165" fontId="16" fillId="0" borderId="20" xfId="0" applyNumberFormat="1" applyFont="1" applyBorder="1" applyProtection="1">
      <protection hidden="1"/>
    </xf>
    <xf numFmtId="165" fontId="16" fillId="0" borderId="21" xfId="0" applyNumberFormat="1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1" fontId="9" fillId="0" borderId="27" xfId="0" applyNumberFormat="1" applyFont="1" applyBorder="1" applyProtection="1">
      <protection hidden="1"/>
    </xf>
    <xf numFmtId="165" fontId="7" fillId="0" borderId="28" xfId="0" applyNumberFormat="1" applyFont="1" applyBorder="1" applyProtection="1">
      <protection hidden="1"/>
    </xf>
    <xf numFmtId="1" fontId="7" fillId="0" borderId="27" xfId="0" applyNumberFormat="1" applyFont="1" applyBorder="1" applyProtection="1">
      <protection hidden="1"/>
    </xf>
    <xf numFmtId="165" fontId="7" fillId="0" borderId="27" xfId="0" applyNumberFormat="1" applyFont="1" applyBorder="1" applyProtection="1">
      <protection hidden="1"/>
    </xf>
    <xf numFmtId="0" fontId="1" fillId="0" borderId="28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11" fillId="0" borderId="10" xfId="0" applyFont="1" applyBorder="1" applyAlignment="1" applyProtection="1">
      <alignment horizontal="center"/>
      <protection hidden="1"/>
    </xf>
    <xf numFmtId="0" fontId="7" fillId="0" borderId="11" xfId="0" applyFont="1" applyBorder="1" applyProtection="1">
      <protection hidden="1"/>
    </xf>
    <xf numFmtId="165" fontId="7" fillId="0" borderId="0" xfId="0" applyNumberFormat="1" applyFont="1" applyProtection="1">
      <protection hidden="1"/>
    </xf>
    <xf numFmtId="1" fontId="9" fillId="0" borderId="11" xfId="0" applyNumberFormat="1" applyFont="1" applyBorder="1" applyProtection="1">
      <protection hidden="1"/>
    </xf>
    <xf numFmtId="165" fontId="7" fillId="0" borderId="11" xfId="0" applyNumberFormat="1" applyFont="1" applyBorder="1" applyProtection="1">
      <protection hidden="1"/>
    </xf>
    <xf numFmtId="165" fontId="1" fillId="0" borderId="0" xfId="0" applyNumberFormat="1" applyFont="1" applyProtection="1">
      <protection hidden="1"/>
    </xf>
    <xf numFmtId="0" fontId="2" fillId="0" borderId="28" xfId="0" applyFont="1" applyBorder="1" applyProtection="1">
      <protection hidden="1"/>
    </xf>
    <xf numFmtId="0" fontId="0" fillId="0" borderId="28" xfId="0" applyBorder="1" applyProtection="1">
      <protection hidden="1"/>
    </xf>
    <xf numFmtId="165" fontId="2" fillId="0" borderId="28" xfId="0" applyNumberFormat="1" applyFont="1" applyBorder="1" applyProtection="1">
      <protection hidden="1"/>
    </xf>
    <xf numFmtId="165" fontId="2" fillId="0" borderId="9" xfId="0" applyNumberFormat="1" applyFont="1" applyBorder="1" applyProtection="1">
      <protection hidden="1"/>
    </xf>
    <xf numFmtId="1" fontId="7" fillId="0" borderId="28" xfId="0" applyNumberFormat="1" applyFont="1" applyBorder="1" applyProtection="1">
      <protection hidden="1"/>
    </xf>
    <xf numFmtId="165" fontId="17" fillId="0" borderId="28" xfId="0" applyNumberFormat="1" applyFont="1" applyBorder="1" applyProtection="1">
      <protection hidden="1"/>
    </xf>
    <xf numFmtId="0" fontId="0" fillId="0" borderId="29" xfId="0" applyBorder="1" applyProtection="1">
      <protection hidden="1"/>
    </xf>
    <xf numFmtId="165" fontId="2" fillId="0" borderId="29" xfId="0" applyNumberFormat="1" applyFont="1" applyBorder="1" applyProtection="1">
      <protection hidden="1"/>
    </xf>
    <xf numFmtId="0" fontId="15" fillId="0" borderId="22" xfId="0" applyFont="1" applyBorder="1" applyProtection="1">
      <protection hidden="1"/>
    </xf>
    <xf numFmtId="1" fontId="9" fillId="0" borderId="23" xfId="0" applyNumberFormat="1" applyFont="1" applyBorder="1" applyProtection="1">
      <protection hidden="1"/>
    </xf>
    <xf numFmtId="165" fontId="16" fillId="0" borderId="29" xfId="0" applyNumberFormat="1" applyFont="1" applyBorder="1" applyAlignment="1" applyProtection="1">
      <alignment horizontal="right"/>
      <protection hidden="1"/>
    </xf>
    <xf numFmtId="1" fontId="7" fillId="0" borderId="23" xfId="0" applyNumberFormat="1" applyFont="1" applyBorder="1" applyProtection="1">
      <protection hidden="1"/>
    </xf>
    <xf numFmtId="165" fontId="7" fillId="0" borderId="29" xfId="0" applyNumberFormat="1" applyFont="1" applyBorder="1" applyProtection="1">
      <protection hidden="1"/>
    </xf>
    <xf numFmtId="165" fontId="7" fillId="0" borderId="23" xfId="0" applyNumberFormat="1" applyFont="1" applyBorder="1" applyProtection="1">
      <protection hidden="1"/>
    </xf>
    <xf numFmtId="165" fontId="16" fillId="0" borderId="29" xfId="0" applyNumberFormat="1" applyFont="1" applyBorder="1" applyProtection="1">
      <protection hidden="1"/>
    </xf>
    <xf numFmtId="1" fontId="5" fillId="0" borderId="21" xfId="0" applyNumberFormat="1" applyFont="1" applyBorder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2" xfId="0" applyFont="1" applyBorder="1" applyProtection="1">
      <protection hidden="1"/>
    </xf>
    <xf numFmtId="165" fontId="7" fillId="0" borderId="12" xfId="0" applyNumberFormat="1" applyFont="1" applyBorder="1" applyAlignment="1" applyProtection="1">
      <alignment horizontal="right"/>
      <protection hidden="1"/>
    </xf>
    <xf numFmtId="2" fontId="7" fillId="0" borderId="12" xfId="0" applyNumberFormat="1" applyFont="1" applyBorder="1" applyAlignment="1" applyProtection="1">
      <alignment horizontal="right"/>
      <protection hidden="1"/>
    </xf>
    <xf numFmtId="0" fontId="2" fillId="0" borderId="12" xfId="0" applyFont="1" applyBorder="1" applyProtection="1">
      <protection hidden="1"/>
    </xf>
    <xf numFmtId="0" fontId="0" fillId="0" borderId="12" xfId="0" applyBorder="1" applyProtection="1">
      <protection hidden="1"/>
    </xf>
    <xf numFmtId="0" fontId="13" fillId="0" borderId="12" xfId="0" applyFont="1" applyBorder="1" applyProtection="1">
      <protection locked="0" hidden="1"/>
    </xf>
    <xf numFmtId="165" fontId="2" fillId="0" borderId="9" xfId="0" applyNumberFormat="1" applyFont="1" applyBorder="1" applyAlignment="1" applyProtection="1">
      <alignment horizontal="left"/>
      <protection locked="0" hidden="1"/>
    </xf>
    <xf numFmtId="0" fontId="0" fillId="0" borderId="28" xfId="0" applyBorder="1" applyAlignment="1" applyProtection="1">
      <alignment horizontal="left"/>
      <protection locked="0" hidden="1"/>
    </xf>
    <xf numFmtId="0" fontId="0" fillId="0" borderId="27" xfId="0" applyBorder="1" applyAlignment="1" applyProtection="1">
      <alignment horizontal="left"/>
      <protection locked="0" hidden="1"/>
    </xf>
    <xf numFmtId="165" fontId="2" fillId="0" borderId="12" xfId="0" applyNumberFormat="1" applyFont="1" applyBorder="1" applyProtection="1">
      <protection locked="0" hidden="1"/>
    </xf>
    <xf numFmtId="0" fontId="0" fillId="0" borderId="12" xfId="0" applyBorder="1" applyProtection="1">
      <protection locked="0" hidden="1"/>
    </xf>
    <xf numFmtId="165" fontId="2" fillId="0" borderId="12" xfId="0" applyNumberFormat="1" applyFont="1" applyBorder="1" applyProtection="1">
      <protection hidden="1"/>
    </xf>
    <xf numFmtId="0" fontId="2" fillId="0" borderId="12" xfId="0" applyFont="1" applyBorder="1" applyAlignment="1" applyProtection="1">
      <alignment horizontal="center"/>
      <protection locked="0" hidden="1"/>
    </xf>
    <xf numFmtId="165" fontId="2" fillId="0" borderId="12" xfId="0" applyNumberFormat="1" applyFont="1" applyBorder="1" applyAlignment="1" applyProtection="1">
      <alignment horizontal="center"/>
      <protection locked="0" hidden="1"/>
    </xf>
    <xf numFmtId="0" fontId="0" fillId="0" borderId="12" xfId="0" applyBorder="1" applyAlignment="1" applyProtection="1">
      <alignment horizontal="center"/>
      <protection locked="0" hidden="1"/>
    </xf>
    <xf numFmtId="165" fontId="16" fillId="0" borderId="28" xfId="0" applyNumberFormat="1" applyFont="1" applyBorder="1" applyAlignment="1" applyProtection="1">
      <alignment horizontal="center"/>
      <protection hidden="1"/>
    </xf>
    <xf numFmtId="165" fontId="16" fillId="0" borderId="27" xfId="0" applyNumberFormat="1" applyFont="1" applyBorder="1" applyAlignment="1" applyProtection="1">
      <alignment horizontal="center"/>
      <protection hidden="1"/>
    </xf>
    <xf numFmtId="165" fontId="16" fillId="0" borderId="9" xfId="0" applyNumberFormat="1" applyFont="1" applyBorder="1" applyAlignment="1" applyProtection="1">
      <alignment horizontal="right"/>
      <protection hidden="1"/>
    </xf>
    <xf numFmtId="165" fontId="16" fillId="0" borderId="28" xfId="0" applyNumberFormat="1" applyFont="1" applyBorder="1" applyAlignment="1" applyProtection="1">
      <alignment horizontal="right"/>
      <protection hidden="1"/>
    </xf>
    <xf numFmtId="0" fontId="2" fillId="0" borderId="9" xfId="0" applyFont="1" applyBorder="1" applyAlignment="1" applyProtection="1">
      <alignment horizontal="left"/>
      <protection hidden="1"/>
    </xf>
    <xf numFmtId="0" fontId="2" fillId="0" borderId="27" xfId="0" applyFont="1" applyBorder="1" applyAlignment="1" applyProtection="1">
      <alignment horizontal="left"/>
      <protection hidden="1"/>
    </xf>
    <xf numFmtId="0" fontId="7" fillId="0" borderId="12" xfId="0" applyFont="1" applyBorder="1" applyAlignment="1" applyProtection="1">
      <alignment horizontal="center"/>
      <protection hidden="1"/>
    </xf>
    <xf numFmtId="165" fontId="9" fillId="0" borderId="28" xfId="0" applyNumberFormat="1" applyFont="1" applyBorder="1" applyProtection="1">
      <protection hidden="1"/>
    </xf>
    <xf numFmtId="165" fontId="8" fillId="0" borderId="27" xfId="0" applyNumberFormat="1" applyFont="1" applyBorder="1" applyProtection="1">
      <protection hidden="1"/>
    </xf>
    <xf numFmtId="165" fontId="7" fillId="0" borderId="28" xfId="0" applyNumberFormat="1" applyFont="1" applyBorder="1" applyProtection="1">
      <protection hidden="1"/>
    </xf>
    <xf numFmtId="165" fontId="12" fillId="0" borderId="27" xfId="0" applyNumberFormat="1" applyFont="1" applyBorder="1" applyProtection="1">
      <protection hidden="1"/>
    </xf>
    <xf numFmtId="165" fontId="16" fillId="0" borderId="27" xfId="0" applyNumberFormat="1" applyFont="1" applyBorder="1" applyAlignment="1" applyProtection="1">
      <alignment horizontal="right"/>
      <protection hidden="1"/>
    </xf>
    <xf numFmtId="0" fontId="2" fillId="0" borderId="24" xfId="0" applyFont="1" applyBorder="1" applyProtection="1">
      <protection hidden="1"/>
    </xf>
    <xf numFmtId="165" fontId="2" fillId="0" borderId="12" xfId="0" applyNumberFormat="1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13" fillId="0" borderId="9" xfId="0" applyFont="1" applyBorder="1" applyAlignment="1" applyProtection="1">
      <alignment horizontal="justify" vertical="top" wrapText="1"/>
      <protection hidden="1"/>
    </xf>
    <xf numFmtId="0" fontId="0" fillId="0" borderId="27" xfId="0" applyBorder="1" applyAlignment="1" applyProtection="1">
      <alignment horizontal="justify" vertical="top" wrapText="1"/>
      <protection hidden="1"/>
    </xf>
    <xf numFmtId="0" fontId="13" fillId="0" borderId="9" xfId="0" applyFont="1" applyBorder="1" applyAlignment="1" applyProtection="1">
      <alignment horizontal="justify" vertical="center" wrapText="1"/>
      <protection hidden="1"/>
    </xf>
    <xf numFmtId="0" fontId="0" fillId="0" borderId="27" xfId="0" applyBorder="1" applyAlignment="1" applyProtection="1">
      <alignment horizontal="justify" vertical="center" wrapText="1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14" fillId="0" borderId="12" xfId="0" applyFont="1" applyBorder="1" applyAlignment="1" applyProtection="1">
      <alignment horizontal="center" vertical="center" textRotation="90" wrapText="1"/>
      <protection hidden="1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164" fontId="9" fillId="0" borderId="16" xfId="0" applyNumberFormat="1" applyFont="1" applyBorder="1" applyAlignment="1" applyProtection="1">
      <alignment horizontal="center"/>
      <protection hidden="1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2" fillId="0" borderId="18" xfId="0" applyFont="1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right"/>
      <protection hidden="1"/>
    </xf>
    <xf numFmtId="0" fontId="2" fillId="0" borderId="20" xfId="0" applyFont="1" applyBorder="1" applyAlignment="1" applyProtection="1">
      <alignment horizontal="right"/>
      <protection hidden="1"/>
    </xf>
    <xf numFmtId="0" fontId="1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 vertical="center" textRotation="90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24" xfId="0" applyFont="1" applyBorder="1" applyAlignment="1" applyProtection="1">
      <alignment horizontal="center" vertical="center" wrapText="1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EEC1-E9E5-48F5-AEDE-8AE6F407FEC7}">
  <sheetPr>
    <pageSetUpPr fitToPage="1"/>
  </sheetPr>
  <dimension ref="A1:T33"/>
  <sheetViews>
    <sheetView tabSelected="1" topLeftCell="A10" workbookViewId="0">
      <selection activeCell="A20" sqref="A20"/>
    </sheetView>
  </sheetViews>
  <sheetFormatPr defaultColWidth="9.140625" defaultRowHeight="15.75" x14ac:dyDescent="0.25"/>
  <cols>
    <col min="1" max="1" width="4.7109375" style="1" customWidth="1"/>
    <col min="2" max="2" width="23.42578125" style="1" customWidth="1"/>
    <col min="3" max="3" width="24.7109375" style="1" customWidth="1"/>
    <col min="4" max="4" width="14.28515625" style="1" customWidth="1"/>
    <col min="5" max="5" width="7.7109375" style="1" customWidth="1"/>
    <col min="6" max="6" width="11.5703125" style="1" customWidth="1"/>
    <col min="7" max="7" width="9.85546875" style="1" customWidth="1"/>
    <col min="8" max="8" width="10.42578125" style="1" customWidth="1"/>
    <col min="9" max="9" width="8.42578125" style="1" customWidth="1"/>
    <col min="10" max="10" width="10.7109375" style="1" customWidth="1"/>
    <col min="11" max="11" width="0.140625" style="1" customWidth="1"/>
    <col min="12" max="12" width="12.5703125" style="1" customWidth="1"/>
    <col min="13" max="13" width="7.140625" style="1" customWidth="1"/>
    <col min="14" max="14" width="12.7109375" style="1" customWidth="1"/>
    <col min="15" max="15" width="9.42578125" style="1" customWidth="1"/>
    <col min="16" max="16" width="10.140625" style="1" customWidth="1"/>
    <col min="17" max="17" width="7.85546875" style="1" customWidth="1"/>
    <col min="18" max="18" width="11.140625" style="1" customWidth="1"/>
    <col min="19" max="16384" width="9.140625" style="1"/>
  </cols>
  <sheetData>
    <row r="1" spans="1:18" ht="16.5" thickBot="1" x14ac:dyDescent="0.3"/>
    <row r="2" spans="1:18" x14ac:dyDescent="0.25">
      <c r="A2" s="108" t="s">
        <v>0</v>
      </c>
      <c r="B2" s="109"/>
      <c r="C2" s="114" t="s">
        <v>1</v>
      </c>
      <c r="D2" s="115"/>
      <c r="E2" s="115"/>
      <c r="F2" s="115"/>
      <c r="G2" s="115"/>
      <c r="H2" s="115"/>
      <c r="I2" s="115"/>
      <c r="J2" s="116"/>
      <c r="L2" s="120" t="s">
        <v>2</v>
      </c>
      <c r="M2" s="121"/>
      <c r="N2" s="121"/>
      <c r="O2" s="2" t="s">
        <v>3</v>
      </c>
      <c r="P2" s="122" t="s">
        <v>4</v>
      </c>
      <c r="Q2" s="123"/>
      <c r="R2" s="124"/>
    </row>
    <row r="3" spans="1:18" x14ac:dyDescent="0.25">
      <c r="A3" s="110"/>
      <c r="B3" s="111"/>
      <c r="C3" s="117"/>
      <c r="D3" s="118"/>
      <c r="E3" s="118"/>
      <c r="F3" s="118"/>
      <c r="G3" s="118"/>
      <c r="H3" s="118"/>
      <c r="I3" s="118"/>
      <c r="J3" s="119"/>
      <c r="L3" s="101" t="s">
        <v>5</v>
      </c>
      <c r="M3" s="95"/>
      <c r="N3" s="95"/>
      <c r="O3" s="3"/>
      <c r="P3" s="101" t="s">
        <v>6</v>
      </c>
      <c r="Q3" s="95"/>
      <c r="R3" s="125"/>
    </row>
    <row r="4" spans="1:18" x14ac:dyDescent="0.25">
      <c r="A4" s="110"/>
      <c r="B4" s="111"/>
      <c r="C4" s="117"/>
      <c r="D4" s="118"/>
      <c r="E4" s="118"/>
      <c r="F4" s="118"/>
      <c r="G4" s="118"/>
      <c r="H4" s="118"/>
      <c r="I4" s="118"/>
      <c r="J4" s="119"/>
      <c r="L4" s="101" t="s">
        <v>7</v>
      </c>
      <c r="M4" s="95"/>
      <c r="N4" s="95"/>
      <c r="O4" s="3"/>
      <c r="P4" s="101" t="s">
        <v>8</v>
      </c>
      <c r="Q4" s="95"/>
      <c r="R4" s="125"/>
    </row>
    <row r="5" spans="1:18" ht="19.5" thickBot="1" x14ac:dyDescent="0.35">
      <c r="A5" s="112"/>
      <c r="B5" s="113"/>
      <c r="C5" s="4" t="s">
        <v>9</v>
      </c>
      <c r="D5" s="5" t="s">
        <v>10</v>
      </c>
      <c r="E5" s="6" t="s">
        <v>11</v>
      </c>
      <c r="F5" s="126" t="s">
        <v>12</v>
      </c>
      <c r="G5" s="127"/>
      <c r="H5" s="127"/>
      <c r="I5" s="127"/>
      <c r="J5" s="128"/>
      <c r="L5" s="129" t="s">
        <v>13</v>
      </c>
      <c r="M5" s="130"/>
      <c r="N5" s="130"/>
      <c r="O5" s="129"/>
      <c r="P5" s="130"/>
      <c r="Q5" s="130"/>
      <c r="R5" s="131"/>
    </row>
    <row r="6" spans="1:18" ht="18.75" x14ac:dyDescent="0.3">
      <c r="A6" s="132" t="s">
        <v>14</v>
      </c>
      <c r="B6" s="133"/>
      <c r="C6" s="133"/>
      <c r="D6" s="7">
        <v>8520</v>
      </c>
      <c r="E6" s="134" t="s">
        <v>15</v>
      </c>
      <c r="F6" s="135"/>
      <c r="G6" s="135"/>
      <c r="H6" s="8">
        <v>55</v>
      </c>
      <c r="I6" s="9" t="s">
        <v>16</v>
      </c>
      <c r="J6" s="10">
        <v>4686</v>
      </c>
      <c r="K6" s="9"/>
      <c r="L6" s="1" t="s">
        <v>17</v>
      </c>
      <c r="M6" s="9"/>
      <c r="N6" s="9"/>
      <c r="O6" s="9"/>
      <c r="P6" s="11"/>
      <c r="Q6" s="11"/>
      <c r="R6" s="12"/>
    </row>
    <row r="7" spans="1:18" ht="18.75" x14ac:dyDescent="0.3">
      <c r="A7" s="13"/>
      <c r="I7" s="14"/>
      <c r="J7" s="14"/>
      <c r="K7" s="14"/>
      <c r="L7" s="14"/>
      <c r="M7" s="14"/>
      <c r="N7" s="14"/>
      <c r="O7" s="14"/>
      <c r="R7" s="15"/>
    </row>
    <row r="8" spans="1:18" x14ac:dyDescent="0.25">
      <c r="A8" s="136" t="s">
        <v>18</v>
      </c>
      <c r="B8" s="137" t="s">
        <v>19</v>
      </c>
      <c r="C8" s="138"/>
      <c r="D8" s="87" t="s">
        <v>20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143"/>
    </row>
    <row r="9" spans="1:18" s="16" customFormat="1" x14ac:dyDescent="0.25">
      <c r="A9" s="136"/>
      <c r="B9" s="139"/>
      <c r="C9" s="140"/>
      <c r="D9" s="104" t="s">
        <v>21</v>
      </c>
      <c r="E9" s="104"/>
      <c r="F9" s="104"/>
      <c r="G9" s="104"/>
      <c r="H9" s="104"/>
      <c r="I9" s="104"/>
      <c r="J9" s="104"/>
      <c r="K9" s="144" t="s">
        <v>22</v>
      </c>
      <c r="L9" s="104" t="s">
        <v>23</v>
      </c>
      <c r="M9" s="104"/>
      <c r="N9" s="104"/>
      <c r="O9" s="104"/>
      <c r="P9" s="104"/>
      <c r="Q9" s="104"/>
      <c r="R9" s="104"/>
    </row>
    <row r="10" spans="1:18" s="16" customFormat="1" x14ac:dyDescent="0.25">
      <c r="A10" s="136"/>
      <c r="B10" s="139"/>
      <c r="C10" s="140"/>
      <c r="D10" s="102" t="s">
        <v>24</v>
      </c>
      <c r="E10" s="103" t="s">
        <v>25</v>
      </c>
      <c r="F10" s="103"/>
      <c r="G10" s="103"/>
      <c r="H10" s="103"/>
      <c r="I10" s="103"/>
      <c r="J10" s="103"/>
      <c r="K10" s="145"/>
      <c r="L10" s="102" t="s">
        <v>24</v>
      </c>
      <c r="M10" s="103" t="s">
        <v>25</v>
      </c>
      <c r="N10" s="103"/>
      <c r="O10" s="103"/>
      <c r="P10" s="103"/>
      <c r="Q10" s="103"/>
      <c r="R10" s="103"/>
    </row>
    <row r="11" spans="1:18" s="16" customFormat="1" x14ac:dyDescent="0.25">
      <c r="A11" s="136"/>
      <c r="B11" s="139"/>
      <c r="C11" s="140"/>
      <c r="D11" s="102"/>
      <c r="E11" s="104" t="s">
        <v>26</v>
      </c>
      <c r="F11" s="104"/>
      <c r="G11" s="104" t="s">
        <v>27</v>
      </c>
      <c r="H11" s="104"/>
      <c r="I11" s="104" t="s">
        <v>28</v>
      </c>
      <c r="J11" s="104"/>
      <c r="K11" s="145"/>
      <c r="L11" s="102"/>
      <c r="M11" s="104" t="s">
        <v>26</v>
      </c>
      <c r="N11" s="104"/>
      <c r="O11" s="104" t="s">
        <v>27</v>
      </c>
      <c r="P11" s="104"/>
      <c r="Q11" s="104" t="s">
        <v>28</v>
      </c>
      <c r="R11" s="104"/>
    </row>
    <row r="12" spans="1:18" s="16" customFormat="1" ht="82.5" customHeight="1" x14ac:dyDescent="0.25">
      <c r="A12" s="136"/>
      <c r="B12" s="141"/>
      <c r="C12" s="142"/>
      <c r="D12" s="102"/>
      <c r="E12" s="17" t="s">
        <v>29</v>
      </c>
      <c r="F12" s="17" t="s">
        <v>30</v>
      </c>
      <c r="G12" s="17" t="s">
        <v>29</v>
      </c>
      <c r="H12" s="17" t="s">
        <v>30</v>
      </c>
      <c r="I12" s="17" t="s">
        <v>29</v>
      </c>
      <c r="J12" s="17" t="s">
        <v>30</v>
      </c>
      <c r="K12" s="146"/>
      <c r="L12" s="102"/>
      <c r="M12" s="17" t="s">
        <v>29</v>
      </c>
      <c r="N12" s="17" t="s">
        <v>30</v>
      </c>
      <c r="O12" s="17" t="s">
        <v>29</v>
      </c>
      <c r="P12" s="17" t="s">
        <v>30</v>
      </c>
      <c r="Q12" s="17" t="s">
        <v>29</v>
      </c>
      <c r="R12" s="17" t="s">
        <v>30</v>
      </c>
    </row>
    <row r="13" spans="1:18" s="20" customFormat="1" ht="22.5" x14ac:dyDescent="0.25">
      <c r="A13" s="18"/>
      <c r="B13" s="105"/>
      <c r="C13" s="106"/>
      <c r="D13" s="19" t="s">
        <v>31</v>
      </c>
      <c r="E13" s="19" t="s">
        <v>32</v>
      </c>
      <c r="F13" s="19" t="s">
        <v>33</v>
      </c>
      <c r="G13" s="19" t="s">
        <v>34</v>
      </c>
      <c r="H13" s="19" t="s">
        <v>35</v>
      </c>
      <c r="I13" s="19" t="s">
        <v>36</v>
      </c>
      <c r="J13" s="19" t="s">
        <v>37</v>
      </c>
      <c r="K13" s="19">
        <v>0</v>
      </c>
      <c r="L13" s="19" t="s">
        <v>38</v>
      </c>
      <c r="M13" s="19" t="s">
        <v>39</v>
      </c>
      <c r="N13" s="19" t="s">
        <v>40</v>
      </c>
      <c r="O13" s="19" t="s">
        <v>41</v>
      </c>
      <c r="P13" s="19" t="s">
        <v>42</v>
      </c>
      <c r="Q13" s="19" t="s">
        <v>43</v>
      </c>
      <c r="R13" s="19" t="s">
        <v>44</v>
      </c>
    </row>
    <row r="14" spans="1:18" ht="35.25" customHeight="1" x14ac:dyDescent="0.25">
      <c r="A14" s="21">
        <v>1</v>
      </c>
      <c r="B14" s="97" t="s">
        <v>45</v>
      </c>
      <c r="C14" s="107"/>
      <c r="D14" s="22">
        <f>D6</f>
        <v>8520</v>
      </c>
      <c r="E14" s="23">
        <f>100-G14</f>
        <v>45</v>
      </c>
      <c r="F14" s="22">
        <f>D14-H14</f>
        <v>3834</v>
      </c>
      <c r="G14" s="23">
        <f>H6</f>
        <v>55</v>
      </c>
      <c r="H14" s="22">
        <f>J6</f>
        <v>4686</v>
      </c>
      <c r="I14" s="22">
        <v>0</v>
      </c>
      <c r="J14" s="22">
        <v>0</v>
      </c>
      <c r="K14" s="22">
        <v>0</v>
      </c>
      <c r="L14" s="22">
        <f>D14</f>
        <v>8520</v>
      </c>
      <c r="M14" s="23">
        <f>E14</f>
        <v>45</v>
      </c>
      <c r="N14" s="22">
        <f>F14</f>
        <v>3834</v>
      </c>
      <c r="O14" s="23">
        <f>G14</f>
        <v>55</v>
      </c>
      <c r="P14" s="22">
        <f>H14</f>
        <v>4686</v>
      </c>
      <c r="Q14" s="22">
        <v>0</v>
      </c>
      <c r="R14" s="22">
        <v>0</v>
      </c>
    </row>
    <row r="15" spans="1:18" ht="32.25" customHeight="1" x14ac:dyDescent="0.25">
      <c r="A15" s="21">
        <v>2</v>
      </c>
      <c r="B15" s="97" t="s">
        <v>46</v>
      </c>
      <c r="C15" s="107"/>
      <c r="D15" s="22">
        <f t="shared" ref="D15:H17" si="0">L14</f>
        <v>8520</v>
      </c>
      <c r="E15" s="23">
        <f t="shared" si="0"/>
        <v>45</v>
      </c>
      <c r="F15" s="22">
        <f t="shared" si="0"/>
        <v>3834</v>
      </c>
      <c r="G15" s="23">
        <f t="shared" si="0"/>
        <v>55</v>
      </c>
      <c r="H15" s="22">
        <f t="shared" si="0"/>
        <v>4686</v>
      </c>
      <c r="I15" s="22">
        <v>0</v>
      </c>
      <c r="J15" s="22">
        <v>0</v>
      </c>
      <c r="K15" s="22"/>
      <c r="L15" s="22">
        <f t="shared" ref="L15:L17" si="1">N15+P15+R15</f>
        <v>7942.3728813559319</v>
      </c>
      <c r="M15" s="23">
        <f>E15-4</f>
        <v>41</v>
      </c>
      <c r="N15" s="22">
        <f>P15/O15*100*M15/100</f>
        <v>3256.3728813559323</v>
      </c>
      <c r="O15" s="23">
        <f>100-M15</f>
        <v>59</v>
      </c>
      <c r="P15" s="22">
        <f t="shared" ref="P15:P19" si="2">H15</f>
        <v>4686</v>
      </c>
      <c r="Q15" s="22">
        <v>0</v>
      </c>
      <c r="R15" s="22">
        <v>0</v>
      </c>
    </row>
    <row r="16" spans="1:18" ht="36" customHeight="1" x14ac:dyDescent="0.25">
      <c r="A16" s="21">
        <v>3</v>
      </c>
      <c r="B16" s="97" t="s">
        <v>47</v>
      </c>
      <c r="C16" s="98"/>
      <c r="D16" s="22">
        <f>L15</f>
        <v>7942.3728813559319</v>
      </c>
      <c r="E16" s="23">
        <f>M15</f>
        <v>41</v>
      </c>
      <c r="F16" s="22">
        <f>N15</f>
        <v>3256.3728813559323</v>
      </c>
      <c r="G16" s="23">
        <f>O15</f>
        <v>59</v>
      </c>
      <c r="H16" s="22">
        <f>P15</f>
        <v>4686</v>
      </c>
      <c r="I16" s="22">
        <f>Q15</f>
        <v>0</v>
      </c>
      <c r="J16" s="22">
        <f>R15</f>
        <v>0</v>
      </c>
      <c r="K16" s="22"/>
      <c r="L16" s="22">
        <f t="shared" si="1"/>
        <v>7942.3728813559319</v>
      </c>
      <c r="M16" s="23">
        <f>N16/L16*100</f>
        <v>41</v>
      </c>
      <c r="N16" s="22">
        <f>F16</f>
        <v>3256.3728813559323</v>
      </c>
      <c r="O16" s="23">
        <f>P16/L16*100</f>
        <v>59</v>
      </c>
      <c r="P16" s="22">
        <f t="shared" si="2"/>
        <v>4686</v>
      </c>
      <c r="Q16" s="22">
        <v>0</v>
      </c>
      <c r="R16" s="22">
        <v>0</v>
      </c>
    </row>
    <row r="17" spans="1:20" x14ac:dyDescent="0.25">
      <c r="A17" s="21">
        <v>4</v>
      </c>
      <c r="B17" s="97" t="s">
        <v>48</v>
      </c>
      <c r="C17" s="98"/>
      <c r="D17" s="67">
        <f t="shared" si="0"/>
        <v>7942.3728813559319</v>
      </c>
      <c r="E17" s="68">
        <f t="shared" si="0"/>
        <v>41</v>
      </c>
      <c r="F17" s="67">
        <f t="shared" si="0"/>
        <v>3256.3728813559323</v>
      </c>
      <c r="G17" s="68">
        <f t="shared" si="0"/>
        <v>59</v>
      </c>
      <c r="H17" s="67">
        <f t="shared" si="0"/>
        <v>4686</v>
      </c>
      <c r="I17" s="67">
        <v>0</v>
      </c>
      <c r="J17" s="67">
        <v>0</v>
      </c>
      <c r="K17" s="67"/>
      <c r="L17" s="67">
        <f t="shared" si="1"/>
        <v>4783.5168000000003</v>
      </c>
      <c r="M17" s="68">
        <f>N17/L17*100</f>
        <v>2.038600554303478</v>
      </c>
      <c r="N17" s="67">
        <f>N18*1.0158</f>
        <v>97.516800000000003</v>
      </c>
      <c r="O17" s="68">
        <f>P17/L17*100</f>
        <v>97.961399445696514</v>
      </c>
      <c r="P17" s="67">
        <f t="shared" si="2"/>
        <v>4686</v>
      </c>
      <c r="Q17" s="67">
        <v>0</v>
      </c>
      <c r="R17" s="67">
        <v>0</v>
      </c>
    </row>
    <row r="18" spans="1:20" ht="31.5" customHeight="1" x14ac:dyDescent="0.25">
      <c r="A18" s="21">
        <v>5</v>
      </c>
      <c r="B18" s="97" t="s">
        <v>49</v>
      </c>
      <c r="C18" s="98"/>
      <c r="D18" s="22">
        <f t="shared" ref="D18:H19" si="3">L17</f>
        <v>4783.5168000000003</v>
      </c>
      <c r="E18" s="23">
        <f t="shared" si="3"/>
        <v>2.038600554303478</v>
      </c>
      <c r="F18" s="22">
        <f t="shared" si="3"/>
        <v>97.516800000000003</v>
      </c>
      <c r="G18" s="23">
        <f t="shared" si="3"/>
        <v>97.961399445696514</v>
      </c>
      <c r="H18" s="22">
        <f t="shared" si="3"/>
        <v>4686</v>
      </c>
      <c r="I18" s="22">
        <v>0</v>
      </c>
      <c r="J18" s="22">
        <v>0</v>
      </c>
      <c r="K18" s="22">
        <v>0</v>
      </c>
      <c r="L18" s="22">
        <f>R25</f>
        <v>4782</v>
      </c>
      <c r="M18" s="23">
        <f>M19</f>
        <v>2</v>
      </c>
      <c r="N18" s="22">
        <f>L18-P18</f>
        <v>96</v>
      </c>
      <c r="O18" s="23">
        <f>O19</f>
        <v>98</v>
      </c>
      <c r="P18" s="22">
        <f t="shared" si="2"/>
        <v>4686</v>
      </c>
      <c r="Q18" s="22">
        <v>0</v>
      </c>
      <c r="R18" s="22">
        <v>0</v>
      </c>
    </row>
    <row r="19" spans="1:20" ht="32.25" customHeight="1" x14ac:dyDescent="0.25">
      <c r="A19" s="21">
        <v>6</v>
      </c>
      <c r="B19" s="99" t="s">
        <v>50</v>
      </c>
      <c r="C19" s="100"/>
      <c r="D19" s="22">
        <f t="shared" si="3"/>
        <v>4782</v>
      </c>
      <c r="E19" s="23">
        <f t="shared" si="3"/>
        <v>2</v>
      </c>
      <c r="F19" s="22">
        <f t="shared" si="3"/>
        <v>96</v>
      </c>
      <c r="G19" s="23">
        <f t="shared" si="3"/>
        <v>98</v>
      </c>
      <c r="H19" s="22">
        <f t="shared" si="3"/>
        <v>4686</v>
      </c>
      <c r="I19" s="22">
        <v>0</v>
      </c>
      <c r="J19" s="22">
        <v>0</v>
      </c>
      <c r="K19" s="22"/>
      <c r="L19" s="22">
        <f>D19</f>
        <v>4782</v>
      </c>
      <c r="M19" s="23">
        <f>100-O19</f>
        <v>2</v>
      </c>
      <c r="N19" s="22">
        <f>F19</f>
        <v>96</v>
      </c>
      <c r="O19" s="23">
        <v>98</v>
      </c>
      <c r="P19" s="22">
        <f t="shared" si="2"/>
        <v>4686</v>
      </c>
      <c r="Q19" s="22">
        <v>0</v>
      </c>
      <c r="R19" s="22">
        <v>0</v>
      </c>
    </row>
    <row r="20" spans="1:20" x14ac:dyDescent="0.25">
      <c r="A20" s="24"/>
      <c r="D20" s="25"/>
      <c r="E20" s="25"/>
      <c r="F20" s="25"/>
      <c r="G20" s="26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7"/>
    </row>
    <row r="21" spans="1:20" x14ac:dyDescent="0.25">
      <c r="A21" s="13"/>
      <c r="C21" s="101" t="s">
        <v>51</v>
      </c>
      <c r="D21" s="101"/>
      <c r="E21" s="28"/>
      <c r="F21" s="29" t="s">
        <v>52</v>
      </c>
      <c r="G21" s="30"/>
      <c r="H21" s="31" t="s">
        <v>53</v>
      </c>
      <c r="I21" s="83" t="s">
        <v>54</v>
      </c>
      <c r="J21" s="92"/>
      <c r="K21" s="32"/>
      <c r="L21" s="81" t="s">
        <v>55</v>
      </c>
      <c r="M21" s="82"/>
      <c r="N21" s="32"/>
      <c r="O21" s="31" t="s">
        <v>56</v>
      </c>
      <c r="P21" s="83" t="s">
        <v>57</v>
      </c>
      <c r="Q21" s="84"/>
      <c r="R21" s="33">
        <v>3080</v>
      </c>
    </row>
    <row r="22" spans="1:20" ht="18.75" x14ac:dyDescent="0.3">
      <c r="A22" s="85"/>
      <c r="B22" s="86"/>
      <c r="C22" s="87"/>
      <c r="D22" s="87"/>
      <c r="E22" s="34"/>
      <c r="F22" s="35">
        <f>H19</f>
        <v>4686</v>
      </c>
      <c r="G22" s="36"/>
      <c r="H22" s="37">
        <f>F14</f>
        <v>3834</v>
      </c>
      <c r="I22" s="36"/>
      <c r="J22" s="38"/>
      <c r="K22" s="36"/>
      <c r="L22" s="36"/>
      <c r="M22" s="38"/>
      <c r="N22" s="39"/>
      <c r="O22" s="35"/>
      <c r="P22" s="36"/>
      <c r="Q22" s="88">
        <f>H22+F22</f>
        <v>8520</v>
      </c>
      <c r="R22" s="89"/>
    </row>
    <row r="23" spans="1:20" ht="18.75" x14ac:dyDescent="0.3">
      <c r="A23" s="40" t="s">
        <v>58</v>
      </c>
      <c r="D23" s="41"/>
      <c r="E23" s="42"/>
      <c r="F23" s="43"/>
      <c r="G23" s="44"/>
      <c r="H23" s="45"/>
      <c r="I23" s="44"/>
      <c r="J23" s="46">
        <v>0</v>
      </c>
      <c r="K23" s="44"/>
      <c r="L23" s="44"/>
      <c r="M23" s="46">
        <v>0</v>
      </c>
      <c r="N23" s="47"/>
      <c r="O23" s="46">
        <v>0</v>
      </c>
      <c r="P23" s="44"/>
      <c r="Q23" s="90">
        <f>J23+M23+O23</f>
        <v>0</v>
      </c>
      <c r="R23" s="91"/>
    </row>
    <row r="24" spans="1:20" ht="17.25" x14ac:dyDescent="0.3">
      <c r="A24" s="40" t="s">
        <v>59</v>
      </c>
      <c r="B24" s="48"/>
      <c r="C24" s="49"/>
      <c r="D24" s="50"/>
      <c r="E24" s="51"/>
      <c r="F24" s="38"/>
      <c r="G24" s="52"/>
      <c r="H24" s="38">
        <f>F17-N17</f>
        <v>3158.8560813559325</v>
      </c>
      <c r="I24" s="36"/>
      <c r="J24" s="38"/>
      <c r="K24" s="36"/>
      <c r="L24" s="36"/>
      <c r="M24" s="38"/>
      <c r="N24" s="53"/>
      <c r="O24" s="38"/>
      <c r="P24" s="36"/>
      <c r="Q24" s="90"/>
      <c r="R24" s="91"/>
    </row>
    <row r="25" spans="1:20" ht="20.25" x14ac:dyDescent="0.3">
      <c r="A25" s="24" t="s">
        <v>60</v>
      </c>
      <c r="B25" s="54"/>
      <c r="C25" s="54"/>
      <c r="D25" s="55"/>
      <c r="E25" s="56" t="s">
        <v>61</v>
      </c>
      <c r="F25" s="57">
        <f>F22</f>
        <v>4686</v>
      </c>
      <c r="G25" s="58" t="s">
        <v>62</v>
      </c>
      <c r="H25" s="59">
        <f>N19</f>
        <v>96</v>
      </c>
      <c r="I25" s="60"/>
      <c r="J25" s="61"/>
      <c r="K25" s="60"/>
      <c r="L25" s="60"/>
      <c r="M25" s="61"/>
      <c r="N25" s="60"/>
      <c r="O25" s="61"/>
      <c r="P25" s="62" t="s">
        <v>63</v>
      </c>
      <c r="Q25" s="48"/>
      <c r="R25" s="63">
        <v>4782</v>
      </c>
    </row>
    <row r="26" spans="1:20" x14ac:dyDescent="0.25">
      <c r="A26" s="48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7"/>
    </row>
    <row r="27" spans="1:20" x14ac:dyDescent="0.25">
      <c r="A27" s="93"/>
      <c r="B27" s="70"/>
      <c r="C27" s="94" t="s">
        <v>64</v>
      </c>
      <c r="D27" s="95"/>
      <c r="E27" s="95"/>
      <c r="F27" s="94" t="s">
        <v>65</v>
      </c>
      <c r="G27" s="95"/>
      <c r="H27" s="95"/>
      <c r="I27" s="95"/>
      <c r="J27" s="95"/>
      <c r="K27" s="95"/>
      <c r="L27" s="95"/>
      <c r="M27" s="94" t="s">
        <v>66</v>
      </c>
      <c r="N27" s="95"/>
      <c r="O27" s="95"/>
      <c r="P27" s="95"/>
      <c r="Q27" s="95"/>
      <c r="R27" s="96"/>
      <c r="S27" s="64"/>
      <c r="T27" s="64"/>
    </row>
    <row r="28" spans="1:20" x14ac:dyDescent="0.25">
      <c r="A28" s="69" t="s">
        <v>67</v>
      </c>
      <c r="B28" s="70"/>
      <c r="C28" s="78" t="s">
        <v>68</v>
      </c>
      <c r="D28" s="78"/>
      <c r="E28" s="78"/>
      <c r="F28" s="79" t="s">
        <v>69</v>
      </c>
      <c r="G28" s="80"/>
      <c r="H28" s="80"/>
      <c r="I28" s="80"/>
      <c r="J28" s="80"/>
      <c r="K28" s="80"/>
      <c r="L28" s="80"/>
      <c r="M28" s="79" t="s">
        <v>70</v>
      </c>
      <c r="N28" s="80"/>
      <c r="O28" s="80"/>
      <c r="P28" s="80"/>
      <c r="Q28" s="80"/>
      <c r="R28" s="80"/>
      <c r="S28" s="65"/>
      <c r="T28" s="65"/>
    </row>
    <row r="29" spans="1:20" x14ac:dyDescent="0.25">
      <c r="A29" s="69" t="s">
        <v>71</v>
      </c>
      <c r="B29" s="70"/>
      <c r="C29" s="71" t="s">
        <v>72</v>
      </c>
      <c r="D29" s="71"/>
      <c r="E29" s="71"/>
      <c r="F29" s="72" t="s">
        <v>73</v>
      </c>
      <c r="G29" s="73"/>
      <c r="H29" s="73"/>
      <c r="I29" s="73"/>
      <c r="J29" s="73"/>
      <c r="K29" s="73"/>
      <c r="L29" s="74"/>
      <c r="M29" s="75" t="s">
        <v>74</v>
      </c>
      <c r="N29" s="76"/>
      <c r="O29" s="76"/>
      <c r="P29" s="76"/>
      <c r="Q29" s="76"/>
      <c r="R29" s="76"/>
      <c r="S29" s="64"/>
      <c r="T29" s="64"/>
    </row>
    <row r="30" spans="1:20" x14ac:dyDescent="0.25">
      <c r="A30" s="66" t="s">
        <v>75</v>
      </c>
      <c r="B30" s="66"/>
      <c r="C30" s="70"/>
      <c r="D30" s="70"/>
      <c r="E30" s="70"/>
      <c r="F30" s="77"/>
      <c r="G30" s="70"/>
      <c r="H30" s="70"/>
      <c r="I30" s="70"/>
      <c r="J30" s="70"/>
      <c r="K30" s="70"/>
      <c r="L30" s="70"/>
      <c r="M30" s="77"/>
      <c r="N30" s="70"/>
      <c r="O30" s="70"/>
      <c r="P30" s="70"/>
      <c r="Q30" s="70"/>
      <c r="R30" s="70"/>
      <c r="S30" s="64"/>
      <c r="T30" s="64"/>
    </row>
    <row r="33" spans="9:9" x14ac:dyDescent="0.25">
      <c r="I33" s="25"/>
    </row>
  </sheetData>
  <mergeCells count="60">
    <mergeCell ref="A6:C6"/>
    <mergeCell ref="E6:G6"/>
    <mergeCell ref="A8:A12"/>
    <mergeCell ref="B8:C12"/>
    <mergeCell ref="D8:R8"/>
    <mergeCell ref="D9:J9"/>
    <mergeCell ref="K9:K12"/>
    <mergeCell ref="L9:R9"/>
    <mergeCell ref="A2:B5"/>
    <mergeCell ref="C2:J4"/>
    <mergeCell ref="L2:N2"/>
    <mergeCell ref="P2:R2"/>
    <mergeCell ref="L3:N3"/>
    <mergeCell ref="P3:R3"/>
    <mergeCell ref="L4:N4"/>
    <mergeCell ref="P4:R4"/>
    <mergeCell ref="F5:J5"/>
    <mergeCell ref="L5:N5"/>
    <mergeCell ref="O5:R5"/>
    <mergeCell ref="D10:D12"/>
    <mergeCell ref="E10:J10"/>
    <mergeCell ref="L10:L12"/>
    <mergeCell ref="M10:R10"/>
    <mergeCell ref="E11:F11"/>
    <mergeCell ref="G11:H11"/>
    <mergeCell ref="I11:J11"/>
    <mergeCell ref="M11:N11"/>
    <mergeCell ref="O11:P11"/>
    <mergeCell ref="Q11:R11"/>
    <mergeCell ref="B13:C13"/>
    <mergeCell ref="B14:C14"/>
    <mergeCell ref="B15:C15"/>
    <mergeCell ref="B16:C16"/>
    <mergeCell ref="B17:C17"/>
    <mergeCell ref="B18:C18"/>
    <mergeCell ref="B19:C19"/>
    <mergeCell ref="C21:D21"/>
    <mergeCell ref="A28:B28"/>
    <mergeCell ref="C28:E28"/>
    <mergeCell ref="F28:L28"/>
    <mergeCell ref="M28:R28"/>
    <mergeCell ref="L21:M21"/>
    <mergeCell ref="P21:Q21"/>
    <mergeCell ref="A22:B22"/>
    <mergeCell ref="C22:D22"/>
    <mergeCell ref="Q22:R22"/>
    <mergeCell ref="Q23:R23"/>
    <mergeCell ref="I21:J21"/>
    <mergeCell ref="Q24:R24"/>
    <mergeCell ref="A27:B27"/>
    <mergeCell ref="C27:E27"/>
    <mergeCell ref="F27:L27"/>
    <mergeCell ref="M27:R27"/>
    <mergeCell ref="A29:B29"/>
    <mergeCell ref="C29:E29"/>
    <mergeCell ref="F29:L29"/>
    <mergeCell ref="M29:R29"/>
    <mergeCell ref="C30:E30"/>
    <mergeCell ref="F30:L30"/>
    <mergeCell ref="M30:R30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2025-12-19T18:18:08Z</cp:lastPrinted>
  <dcterms:created xsi:type="dcterms:W3CDTF">2025-12-16T21:51:16Z</dcterms:created>
  <dcterms:modified xsi:type="dcterms:W3CDTF">2025-12-19T18:42:33Z</dcterms:modified>
</cp:coreProperties>
</file>